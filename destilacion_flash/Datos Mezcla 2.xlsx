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\Desktop\"/>
    </mc:Choice>
  </mc:AlternateContent>
  <xr:revisionPtr revIDLastSave="0" documentId="8_{0FF66A63-420E-4DE3-9948-3955428448E0}" xr6:coauthVersionLast="47" xr6:coauthVersionMax="47" xr10:uidLastSave="{00000000-0000-0000-0000-000000000000}"/>
  <bookViews>
    <workbookView xWindow="-22176" yWindow="780" windowWidth="17280" windowHeight="8976" xr2:uid="{F8E00FD7-04D8-483E-886F-5584C02D134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  <c r="E6" i="1"/>
  <c r="D6" i="1"/>
  <c r="C6" i="1"/>
  <c r="E5" i="1"/>
  <c r="D5" i="1"/>
  <c r="C5" i="1"/>
  <c r="E4" i="1"/>
  <c r="D4" i="1"/>
  <c r="C4" i="1"/>
  <c r="E3" i="1"/>
  <c r="D3" i="1"/>
  <c r="C3" i="1"/>
  <c r="B3" i="1"/>
  <c r="E2" i="1"/>
  <c r="D2" i="1"/>
  <c r="C2" i="1"/>
</calcChain>
</file>

<file path=xl/sharedStrings.xml><?xml version="1.0" encoding="utf-8"?>
<sst xmlns="http://schemas.openxmlformats.org/spreadsheetml/2006/main" count="12" uniqueCount="12">
  <si>
    <t>Componente</t>
  </si>
  <si>
    <t>K1</t>
  </si>
  <si>
    <t>K2*(10^4)</t>
  </si>
  <si>
    <t>K3*(10^5)</t>
  </si>
  <si>
    <t>K4*(10^8)</t>
  </si>
  <si>
    <t>Metano</t>
  </si>
  <si>
    <t>Etano</t>
  </si>
  <si>
    <t>Propano</t>
  </si>
  <si>
    <t>n-Butano</t>
  </si>
  <si>
    <t>n-Pentano</t>
  </si>
  <si>
    <t xml:space="preserve">Aceite </t>
  </si>
  <si>
    <t>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</si>
</sst>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D579B-1CCC-4699-A18E-9DD696B18A49}">
  <dimension ref="A1:E9"/>
  <sheetViews>
    <sheetView tabSelected="1" workbookViewId="0">
      <selection activeCell="G12" sqref="G12"/>
    </sheetView>
  </sheetViews>
  <sheetFormatPr baseColWidth="10"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>
        <v>12.25</v>
      </c>
      <c r="C2" s="2">
        <f>0.25</f>
        <v>0.25</v>
      </c>
      <c r="D2" s="2">
        <f>-0.000625</f>
        <v>-6.2500000000000001E-4</v>
      </c>
      <c r="E2" s="2">
        <f>0</f>
        <v>0</v>
      </c>
    </row>
    <row r="3" spans="1:5" x14ac:dyDescent="0.25">
      <c r="A3" s="2" t="s">
        <v>6</v>
      </c>
      <c r="B3" s="2">
        <f>4.75</f>
        <v>4.75</v>
      </c>
      <c r="C3" s="2">
        <f>-0.000427</f>
        <v>-4.2700000000000002E-4</v>
      </c>
      <c r="D3" s="2">
        <f>0.000208</f>
        <v>2.0799999999999999E-4</v>
      </c>
      <c r="E3" s="2">
        <f>-0.0000000855</f>
        <v>-8.5500000000000005E-8</v>
      </c>
    </row>
    <row r="4" spans="1:5" x14ac:dyDescent="0.25">
      <c r="A4" s="2" t="s">
        <v>7</v>
      </c>
      <c r="B4" s="2">
        <v>2.35</v>
      </c>
      <c r="C4" s="2">
        <f>-0.0131</f>
        <v>-1.3100000000000001E-2</v>
      </c>
      <c r="D4" s="2">
        <f>0.000138</f>
        <v>1.3799999999999999E-4</v>
      </c>
      <c r="E4" s="2">
        <f>-0.0000000847</f>
        <v>-8.4699999999999997E-8</v>
      </c>
    </row>
    <row r="5" spans="1:5" x14ac:dyDescent="0.25">
      <c r="A5" s="2" t="s">
        <v>8</v>
      </c>
      <c r="B5" s="2">
        <v>-0.434</v>
      </c>
      <c r="C5" s="2">
        <f>0.0121</f>
        <v>1.21E-2</v>
      </c>
      <c r="D5" s="2">
        <f>-0.0000102</f>
        <v>-1.0200000000000001E-5</v>
      </c>
      <c r="E5" s="2">
        <f>0.0000000544</f>
        <v>5.4399999999999997E-8</v>
      </c>
    </row>
    <row r="6" spans="1:5" x14ac:dyDescent="0.25">
      <c r="A6" s="2" t="s">
        <v>9</v>
      </c>
      <c r="B6" s="2">
        <v>-0.20699999999999999</v>
      </c>
      <c r="C6" s="2">
        <f>0.00416</f>
        <v>4.1599999999999996E-3</v>
      </c>
      <c r="D6" s="2">
        <f>0.000000477</f>
        <v>4.7700000000000005E-7</v>
      </c>
      <c r="E6" s="2">
        <f>0.0000000308</f>
        <v>3.0799999999999998E-8</v>
      </c>
    </row>
    <row r="7" spans="1:5" x14ac:dyDescent="0.25">
      <c r="A7" s="2" t="s">
        <v>10</v>
      </c>
      <c r="B7" s="2">
        <v>-9.0000000000000006E-5</v>
      </c>
      <c r="C7" s="2">
        <f>0.000002</f>
        <v>1.9999999999999999E-6</v>
      </c>
      <c r="D7" s="2">
        <v>0</v>
      </c>
      <c r="E7" s="2">
        <v>0</v>
      </c>
    </row>
    <row r="8" spans="1:5" x14ac:dyDescent="0.25">
      <c r="B8" s="3"/>
    </row>
    <row r="9" spans="1:5" x14ac:dyDescent="0.25">
      <c r="B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Daniel Villanueva Hernández</dc:creator>
  <cp:lastModifiedBy>José Daniel Villanueva Hernández</cp:lastModifiedBy>
  <dcterms:created xsi:type="dcterms:W3CDTF">2023-09-22T23:44:48Z</dcterms:created>
  <dcterms:modified xsi:type="dcterms:W3CDTF">2023-09-22T23:45:32Z</dcterms:modified>
</cp:coreProperties>
</file>